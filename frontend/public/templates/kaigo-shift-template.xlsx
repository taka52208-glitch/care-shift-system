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シフト表" state="visible" r:id="rId4"/>
  </sheets>
  <calcPr calcId="171027"/>
</workbook>
</file>

<file path=xl/sharedStrings.xml><?xml version="1.0" encoding="utf-8"?>
<sst xmlns="http://schemas.openxmlformats.org/spreadsheetml/2006/main" count="39" uniqueCount="25">
  <si>
    <t>介護施設 月間シフト表</t>
  </si>
  <si>
    <t>対象月:</t>
  </si>
  <si>
    <t>2026年4月</t>
  </si>
  <si>
    <t>凡例:</t>
  </si>
  <si>
    <t>早</t>
  </si>
  <si>
    <t>日</t>
  </si>
  <si>
    <t>遅</t>
  </si>
  <si>
    <t>夜</t>
  </si>
  <si>
    <t>明</t>
  </si>
  <si>
    <t>休</t>
  </si>
  <si>
    <t>スタッフ名</t>
  </si>
  <si>
    <t>夜勤数</t>
  </si>
  <si>
    <t>休日数</t>
  </si>
  <si>
    <t>田中 花子</t>
  </si>
  <si>
    <t>佐藤 太郎</t>
  </si>
  <si>
    <t>鈴木 美咲</t>
  </si>
  <si>
    <t>山田 健一</t>
  </si>
  <si>
    <t>高橋 由美</t>
  </si>
  <si>
    <t/>
  </si>
  <si>
    <t>早番</t>
  </si>
  <si>
    <t>日勤</t>
  </si>
  <si>
    <t>遅番</t>
  </si>
  <si>
    <t>夜勤</t>
  </si>
  <si>
    <t>必要人員</t>
  </si>
  <si>
    <t>※ このテンプレートは CareShift（https://care-shift-system.vercel.app）が無料提供しています。自動シフト生成をお試しください。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</si>
</sst>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sz val="11"/>
    </font>
    <font>
      <color rgb="FF2563EB"/>
      <sz val="11"/>
    </font>
    <font>
      <b/>
      <sz val="10"/>
    </font>
    <font>
      <b/>
      <color rgb="FF2E7D32"/>
      <sz val="10"/>
    </font>
    <font>
      <b/>
      <color rgb="FF1565C0"/>
      <sz val="10"/>
    </font>
    <font>
      <b/>
      <color rgb="FFE65100"/>
      <sz val="10"/>
    </font>
    <font>
      <b/>
      <color rgb="FF4527A0"/>
      <sz val="10"/>
    </font>
    <font>
      <b/>
      <color rgb="FFC62828"/>
      <sz val="10"/>
    </font>
    <font>
      <b/>
      <color rgb="FF757575"/>
      <sz val="10"/>
    </font>
    <font>
      <b/>
      <color rgb="FFFFFFFF"/>
      <sz val="10"/>
    </font>
    <font>
      <b/>
      <color rgb="FFFFFFFF"/>
      <sz val="9"/>
    </font>
    <font>
      <sz val="10"/>
    </font>
    <font>
      <b/>
      <color rgb="FF7C3AED"/>
      <sz val="10"/>
    </font>
    <font>
      <b/>
      <color rgb="FF059669"/>
      <sz val="10"/>
    </font>
    <font>
      <b/>
      <color rgb="FF2E7D32"/>
      <sz val="9"/>
    </font>
    <font>
      <b/>
      <color rgb="FF1565C0"/>
      <sz val="9"/>
    </font>
    <font>
      <b/>
      <color rgb="FFE65100"/>
      <sz val="9"/>
    </font>
    <font>
      <b/>
      <color rgb="FF4527A0"/>
      <sz val="9"/>
    </font>
    <font>
      <b/>
      <color rgb="FFDC2626"/>
      <sz val="9"/>
    </font>
    <font>
      <i/>
      <color rgb="FF94A3B8"/>
      <sz val="9"/>
    </font>
  </fonts>
  <fills count="15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  <fill>
      <patternFill patternType="solid">
        <fgColor rgb="FFEDE7F6"/>
      </patternFill>
    </fill>
    <fill>
      <patternFill patternType="solid">
        <fgColor rgb="FFFCE4EC"/>
      </patternFill>
    </fill>
    <fill>
      <patternFill patternType="solid">
        <fgColor rgb="FFF5F5F5"/>
      </patternFill>
    </fill>
    <fill>
      <patternFill patternType="solid">
        <fgColor rgb="FF1E40AF"/>
      </patternFill>
    </fill>
    <fill>
      <patternFill patternType="solid">
        <fgColor rgb="FF7C3AED"/>
      </patternFill>
    </fill>
    <fill>
      <patternFill patternType="solid">
        <fgColor rgb="FF059669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1F2"/>
      </patternFill>
    </fill>
  </fills>
  <borders count="7">
    <border>
      <left/>
      <right/>
      <top/>
      <bottom/>
      <diagonal/>
    </border>
    <border>
      <left/>
      <right/>
      <top/>
      <bottom style="thin">
        <color rgb="FF2563EB"/>
      </bottom>
      <diagonal/>
    </border>
    <border>
      <left style="thin"/>
      <right style="thin"/>
      <top style="thin"/>
      <bottom style="thin"/>
      <diagonal/>
    </border>
    <border>
      <left style="hair"/>
      <right style="hair"/>
      <top style="thin"/>
      <bottom style="thin"/>
      <diagonal/>
    </border>
    <border>
      <left/>
      <right style="thin"/>
      <top/>
      <bottom style="hair">
        <color rgb="FFE2E8F0"/>
      </bottom>
      <diagonal/>
    </border>
    <border>
      <left/>
      <right style="hair">
        <color rgb="FFE2E8F0"/>
      </right>
      <top/>
      <bottom style="hair">
        <color rgb="FFE2E8F0"/>
      </bottom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11" fillId="8" borderId="0" xfId="0" applyFont="1" applyFill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4" fillId="11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16" fillId="13" borderId="0" xfId="0" applyFont="1" applyFill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7" fillId="13" borderId="6" xfId="0" applyFont="1" applyFill="1" applyBorder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3" borderId="6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21" fillId="0" borderId="0" xfId="0" applyFont="1"/>
  </cellXfs>
  <cellStyles count="1">
    <cellStyle name="Normal" xfId="0" builtinId="0"/>
  </cellStyles>
  <dxfs count="6">
    <dxf>
      <font>
        <b/>
        <color rgb="FF2E7D32"/>
      </font>
      <fill>
        <patternFill patternType="solid">
          <fgColor rgb="FFE8F5E9"/>
        </patternFill>
      </fill>
    </dxf>
    <dxf>
      <font>
        <b/>
        <color rgb="FF1565C0"/>
      </font>
      <fill>
        <patternFill patternType="solid">
          <fgColor rgb="FFE3F2FD"/>
        </patternFill>
      </fill>
    </dxf>
    <dxf>
      <font>
        <b/>
        <color rgb="FFE65100"/>
      </font>
      <fill>
        <patternFill patternType="solid">
          <fgColor rgb="FFFFF3E0"/>
        </patternFill>
      </fill>
    </dxf>
    <dxf>
      <font>
        <b/>
        <color rgb="FF4527A0"/>
      </font>
      <fill>
        <patternFill patternType="solid">
          <fgColor rgb="FFEDE7F6"/>
        </patternFill>
      </fill>
    </dxf>
    <dxf>
      <font>
        <b/>
        <color rgb="FFC62828"/>
      </font>
      <fill>
        <patternFill patternType="solid">
          <fgColor rgb="FFFCE4EC"/>
        </patternFill>
      </fill>
    </dxf>
    <dxf>
      <font>
        <b/>
        <color rgb="FF757575"/>
      </font>
      <fill>
        <patternFill patternType="solid">
          <fgColor rgb="FFF5F5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2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32" width="4.5" customWidth="1"/>
    <col min="33" max="34" width="8" customWidth="1"/>
  </cols>
  <sheetData>
    <row r="1" ht="30" customHeight="1" spans="1:3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10" x14ac:dyDescent="0.25">
      <c r="A2" s="2" t="s">
        <v>1</v>
      </c>
      <c r="B2" s="3" t="s">
        <v>2</v>
      </c>
      <c r="D2" s="4" t="s">
        <v>3</v>
      </c>
      <c r="E2" s="5" t="s">
        <v>4</v>
      </c>
      <c r="F2" s="6" t="s">
        <v>5</v>
      </c>
      <c r="G2" s="7" t="s">
        <v>6</v>
      </c>
      <c r="H2" s="8" t="s">
        <v>7</v>
      </c>
      <c r="I2" s="9" t="s">
        <v>8</v>
      </c>
      <c r="J2" s="10" t="s">
        <v>9</v>
      </c>
    </row>
    <row r="3" ht="22" customHeight="1" spans="1:34" x14ac:dyDescent="0.25">
      <c r="A3" s="11" t="s">
        <v>10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2">
        <v>25</v>
      </c>
      <c r="AA3" s="12">
        <v>26</v>
      </c>
      <c r="AB3" s="12">
        <v>27</v>
      </c>
      <c r="AC3" s="12">
        <v>28</v>
      </c>
      <c r="AD3" s="12">
        <v>29</v>
      </c>
      <c r="AE3" s="12">
        <v>30</v>
      </c>
      <c r="AF3" s="12">
        <v>31</v>
      </c>
      <c r="AG3" s="13" t="s">
        <v>11</v>
      </c>
      <c r="AH3" s="14" t="s">
        <v>12</v>
      </c>
    </row>
    <row r="4" ht="22" customHeight="1" spans="1:34" x14ac:dyDescent="0.25">
      <c r="A4" s="15" t="s">
        <v>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7">
        <f>COUNTIF(B4:AF4,"夜")</f>
      </c>
      <c r="AH4" s="18">
        <f>COUNTIF(B4:AF4,"休")+COUNTIF(B4:AF4,"明")</f>
      </c>
    </row>
    <row r="5" ht="22" customHeight="1" spans="1:34" x14ac:dyDescent="0.25">
      <c r="A5" s="15" t="s">
        <v>14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7">
        <f>COUNTIF(B5:AF5,"夜")</f>
      </c>
      <c r="AH5" s="18">
        <f>COUNTIF(B5:AF5,"休")+COUNTIF(B5:AF5,"明")</f>
      </c>
    </row>
    <row r="6" ht="22" customHeight="1" spans="1:34" x14ac:dyDescent="0.25">
      <c r="A6" s="15" t="s">
        <v>15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7">
        <f>COUNTIF(B6:AF6,"夜")</f>
      </c>
      <c r="AH6" s="18">
        <f>COUNTIF(B6:AF6,"休")+COUNTIF(B6:AF6,"明")</f>
      </c>
    </row>
    <row r="7" ht="22" customHeight="1" spans="1:34" x14ac:dyDescent="0.25">
      <c r="A7" s="15" t="s">
        <v>16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7">
        <f>COUNTIF(B7:AF7,"夜")</f>
      </c>
      <c r="AH7" s="18">
        <f>COUNTIF(B7:AF7,"休")+COUNTIF(B7:AF7,"明")</f>
      </c>
    </row>
    <row r="8" ht="22" customHeight="1" spans="1:34" x14ac:dyDescent="0.25">
      <c r="A8" s="15" t="s">
        <v>17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7">
        <f>COUNTIF(B8:AF8,"夜")</f>
      </c>
      <c r="AH8" s="18">
        <f>COUNTIF(B8:AF8,"休")+COUNTIF(B8:AF8,"明")</f>
      </c>
    </row>
    <row r="9" ht="22" customHeight="1" spans="1:34" x14ac:dyDescent="0.25">
      <c r="A9" s="15" t="s">
        <v>18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7">
        <f>COUNTIF(B9:AF9,"夜")</f>
      </c>
      <c r="AH9" s="18">
        <f>COUNTIF(B9:AF9,"休")+COUNTIF(B9:AF9,"明")</f>
      </c>
    </row>
    <row r="10" ht="22" customHeight="1" spans="1:34" x14ac:dyDescent="0.25">
      <c r="A10" s="15" t="s">
        <v>18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7">
        <f>COUNTIF(B10:AF10,"夜")</f>
      </c>
      <c r="AH10" s="18">
        <f>COUNTIF(B10:AF10,"休")+COUNTIF(B10:AF10,"明")</f>
      </c>
    </row>
    <row r="11" ht="22" customHeight="1" spans="1:34" x14ac:dyDescent="0.25">
      <c r="A11" s="15" t="s">
        <v>18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7">
        <f>COUNTIF(B11:AF11,"夜")</f>
      </c>
      <c r="AH11" s="18">
        <f>COUNTIF(B11:AF11,"休")+COUNTIF(B11:AF11,"明")</f>
      </c>
    </row>
    <row r="12" ht="22" customHeight="1" spans="1:34" x14ac:dyDescent="0.25">
      <c r="A12" s="15" t="s">
        <v>18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7">
        <f>COUNTIF(B12:AF12,"夜")</f>
      </c>
      <c r="AH12" s="18">
        <f>COUNTIF(B12:AF12,"休")+COUNTIF(B12:AF12,"明")</f>
      </c>
    </row>
    <row r="13" ht="22" customHeight="1" spans="1:34" x14ac:dyDescent="0.25">
      <c r="A13" s="15" t="s">
        <v>18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7">
        <f>COUNTIF(B13:AF13,"夜")</f>
      </c>
      <c r="AH13" s="18">
        <f>COUNTIF(B13:AF13,"休")+COUNTIF(B13:AF13,"明")</f>
      </c>
    </row>
    <row r="14" ht="22" customHeight="1" spans="1:34" x14ac:dyDescent="0.25">
      <c r="A14" s="15" t="s">
        <v>18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7">
        <f>COUNTIF(B14:AF14,"夜")</f>
      </c>
      <c r="AH14" s="18">
        <f>COUNTIF(B14:AF14,"休")+COUNTIF(B14:AF14,"明")</f>
      </c>
    </row>
    <row r="15" ht="22" customHeight="1" spans="1:34" x14ac:dyDescent="0.25">
      <c r="A15" s="15" t="s">
        <v>18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7">
        <f>COUNTIF(B15:AF15,"夜")</f>
      </c>
      <c r="AH15" s="18">
        <f>COUNTIF(B15:AF15,"休")+COUNTIF(B15:AF15,"明")</f>
      </c>
    </row>
    <row r="16" ht="22" customHeight="1" spans="1:34" x14ac:dyDescent="0.25">
      <c r="A16" s="15" t="s">
        <v>18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7">
        <f>COUNTIF(B16:AF16,"夜")</f>
      </c>
      <c r="AH16" s="18">
        <f>COUNTIF(B16:AF16,"休")+COUNTIF(B16:AF16,"明")</f>
      </c>
    </row>
    <row r="17" ht="22" customHeight="1" spans="1:34" x14ac:dyDescent="0.25">
      <c r="A17" s="15" t="s">
        <v>18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7">
        <f>COUNTIF(B17:AF17,"夜")</f>
      </c>
      <c r="AH17" s="18">
        <f>COUNTIF(B17:AF17,"休")+COUNTIF(B17:AF17,"明")</f>
      </c>
    </row>
    <row r="18" ht="22" customHeight="1" spans="1:34" x14ac:dyDescent="0.25">
      <c r="A18" s="15" t="s">
        <v>18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7">
        <f>COUNTIF(B18:AF18,"夜")</f>
      </c>
      <c r="AH18" s="18">
        <f>COUNTIF(B18:AF18,"休")+COUNTIF(B18:AF18,"明")</f>
      </c>
    </row>
    <row r="19" ht="22" customHeight="1" spans="1:34" x14ac:dyDescent="0.25">
      <c r="A19" s="15" t="s">
        <v>18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7">
        <f>COUNTIF(B19:AF19,"夜")</f>
      </c>
      <c r="AH19" s="18">
        <f>COUNTIF(B19:AF19,"休")+COUNTIF(B19:AF19,"明")</f>
      </c>
    </row>
    <row r="20" ht="22" customHeight="1" spans="1:34" x14ac:dyDescent="0.25">
      <c r="A20" s="15" t="s">
        <v>18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7">
        <f>COUNTIF(B20:AF20,"夜")</f>
      </c>
      <c r="AH20" s="18">
        <f>COUNTIF(B20:AF20,"休")+COUNTIF(B20:AF20,"明")</f>
      </c>
    </row>
    <row r="21" ht="22" customHeight="1" spans="1:34" x14ac:dyDescent="0.25">
      <c r="A21" s="15" t="s">
        <v>18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7">
        <f>COUNTIF(B21:AF21,"夜")</f>
      </c>
      <c r="AH21" s="18">
        <f>COUNTIF(B21:AF21,"休")+COUNTIF(B21:AF21,"明")</f>
      </c>
    </row>
    <row r="22" ht="22" customHeight="1" spans="1:34" x14ac:dyDescent="0.25">
      <c r="A22" s="15" t="s">
        <v>18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7">
        <f>COUNTIF(B22:AF22,"夜")</f>
      </c>
      <c r="AH22" s="18">
        <f>COUNTIF(B22:AF22,"休")+COUNTIF(B22:AF22,"明")</f>
      </c>
    </row>
    <row r="23" ht="22" customHeight="1" spans="1:34" x14ac:dyDescent="0.25">
      <c r="A23" s="15" t="s">
        <v>18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7">
        <f>COUNTIF(B23:AF23,"夜")</f>
      </c>
      <c r="AH23" s="18">
        <f>COUNTIF(B23:AF23,"休")+COUNTIF(B23:AF23,"明")</f>
      </c>
    </row>
    <row r="25" ht="20" customHeight="1" spans="1:32" x14ac:dyDescent="0.25">
      <c r="A25" s="20" t="s">
        <v>19</v>
      </c>
      <c r="B25" s="21">
        <f>COUNTIF(B4:B23,"早")</f>
      </c>
      <c r="C25" s="21">
        <f>COUNTIF(C4:C23,"早")</f>
      </c>
      <c r="D25" s="21">
        <f>COUNTIF(D4:D23,"早")</f>
      </c>
      <c r="E25" s="21">
        <f>COUNTIF(E4:E23,"早")</f>
      </c>
      <c r="F25" s="21">
        <f>COUNTIF(F4:F23,"早")</f>
      </c>
      <c r="G25" s="21">
        <f>COUNTIF(G4:G23,"早")</f>
      </c>
      <c r="H25" s="21">
        <f>COUNTIF(H4:H23,"早")</f>
      </c>
      <c r="I25" s="21">
        <f>COUNTIF(I4:I23,"早")</f>
      </c>
      <c r="J25" s="21">
        <f>COUNTIF(J4:J23,"早")</f>
      </c>
      <c r="K25" s="21">
        <f>COUNTIF(K4:K23,"早")</f>
      </c>
      <c r="L25" s="21">
        <f>COUNTIF(L4:L23,"早")</f>
      </c>
      <c r="M25" s="21">
        <f>COUNTIF(M4:M23,"早")</f>
      </c>
      <c r="N25" s="21">
        <f>COUNTIF(N4:N23,"早")</f>
      </c>
      <c r="O25" s="21">
        <f>COUNTIF(O4:O23,"早")</f>
      </c>
      <c r="P25" s="21">
        <f>COUNTIF(P4:P23,"早")</f>
      </c>
      <c r="Q25" s="21">
        <f>COUNTIF(Q4:Q23,"早")</f>
      </c>
      <c r="R25" s="21">
        <f>COUNTIF(R4:R23,"早")</f>
      </c>
      <c r="S25" s="21">
        <f>COUNTIF(S4:S23,"早")</f>
      </c>
      <c r="T25" s="21">
        <f>COUNTIF(T4:T23,"早")</f>
      </c>
      <c r="U25" s="21">
        <f>COUNTIF(U4:U23,"早")</f>
      </c>
      <c r="V25" s="21">
        <f>COUNTIF(V4:V23,"早")</f>
      </c>
      <c r="W25" s="21">
        <f>COUNTIF(W4:W23,"早")</f>
      </c>
      <c r="X25" s="21">
        <f>COUNTIF(X4:X23,"早")</f>
      </c>
      <c r="Y25" s="21">
        <f>COUNTIF(Y4:Y23,"早")</f>
      </c>
      <c r="Z25" s="21">
        <f>COUNTIF(Z4:Z23,"早")</f>
      </c>
      <c r="AA25" s="21">
        <f>COUNTIF([4:[23,"早")</f>
      </c>
      <c r="AB25" s="21">
        <f>COUNTIF(\4:\23,"早")</f>
      </c>
      <c r="AC25" s="21">
        <f>COUNTIF(]4:]23,"早")</f>
      </c>
      <c r="AD25" s="21">
        <f>COUNTIF(^4:^23,"早")</f>
      </c>
      <c r="AE25" s="21">
        <f>COUNTIF(_4:_23,"早")</f>
      </c>
      <c r="AF25" s="21">
        <f>COUNTIF(`4:`23,"早")</f>
      </c>
    </row>
    <row r="26" ht="20" customHeight="1" spans="1:32" x14ac:dyDescent="0.25">
      <c r="A26" s="22" t="s">
        <v>20</v>
      </c>
      <c r="B26" s="23">
        <f>COUNTIF(B4:B23,"日")</f>
      </c>
      <c r="C26" s="23">
        <f>COUNTIF(C4:C23,"日")</f>
      </c>
      <c r="D26" s="23">
        <f>COUNTIF(D4:D23,"日")</f>
      </c>
      <c r="E26" s="23">
        <f>COUNTIF(E4:E23,"日")</f>
      </c>
      <c r="F26" s="23">
        <f>COUNTIF(F4:F23,"日")</f>
      </c>
      <c r="G26" s="23">
        <f>COUNTIF(G4:G23,"日")</f>
      </c>
      <c r="H26" s="23">
        <f>COUNTIF(H4:H23,"日")</f>
      </c>
      <c r="I26" s="23">
        <f>COUNTIF(I4:I23,"日")</f>
      </c>
      <c r="J26" s="23">
        <f>COUNTIF(J4:J23,"日")</f>
      </c>
      <c r="K26" s="23">
        <f>COUNTIF(K4:K23,"日")</f>
      </c>
      <c r="L26" s="23">
        <f>COUNTIF(L4:L23,"日")</f>
      </c>
      <c r="M26" s="23">
        <f>COUNTIF(M4:M23,"日")</f>
      </c>
      <c r="N26" s="23">
        <f>COUNTIF(N4:N23,"日")</f>
      </c>
      <c r="O26" s="23">
        <f>COUNTIF(O4:O23,"日")</f>
      </c>
      <c r="P26" s="23">
        <f>COUNTIF(P4:P23,"日")</f>
      </c>
      <c r="Q26" s="23">
        <f>COUNTIF(Q4:Q23,"日")</f>
      </c>
      <c r="R26" s="23">
        <f>COUNTIF(R4:R23,"日")</f>
      </c>
      <c r="S26" s="23">
        <f>COUNTIF(S4:S23,"日")</f>
      </c>
      <c r="T26" s="23">
        <f>COUNTIF(T4:T23,"日")</f>
      </c>
      <c r="U26" s="23">
        <f>COUNTIF(U4:U23,"日")</f>
      </c>
      <c r="V26" s="23">
        <f>COUNTIF(V4:V23,"日")</f>
      </c>
      <c r="W26" s="23">
        <f>COUNTIF(W4:W23,"日")</f>
      </c>
      <c r="X26" s="23">
        <f>COUNTIF(X4:X23,"日")</f>
      </c>
      <c r="Y26" s="23">
        <f>COUNTIF(Y4:Y23,"日")</f>
      </c>
      <c r="Z26" s="23">
        <f>COUNTIF(Z4:Z23,"日")</f>
      </c>
      <c r="AA26" s="23">
        <f>COUNTIF([4:[23,"日")</f>
      </c>
      <c r="AB26" s="23">
        <f>COUNTIF(\4:\23,"日")</f>
      </c>
      <c r="AC26" s="23">
        <f>COUNTIF(]4:]23,"日")</f>
      </c>
      <c r="AD26" s="23">
        <f>COUNTIF(^4:^23,"日")</f>
      </c>
      <c r="AE26" s="23">
        <f>COUNTIF(_4:_23,"日")</f>
      </c>
      <c r="AF26" s="23">
        <f>COUNTIF(`4:`23,"日")</f>
      </c>
    </row>
    <row r="27" ht="20" customHeight="1" spans="1:32" x14ac:dyDescent="0.25">
      <c r="A27" s="24" t="s">
        <v>21</v>
      </c>
      <c r="B27" s="25">
        <f>COUNTIF(B4:B23,"遅")</f>
      </c>
      <c r="C27" s="25">
        <f>COUNTIF(C4:C23,"遅")</f>
      </c>
      <c r="D27" s="25">
        <f>COUNTIF(D4:D23,"遅")</f>
      </c>
      <c r="E27" s="25">
        <f>COUNTIF(E4:E23,"遅")</f>
      </c>
      <c r="F27" s="25">
        <f>COUNTIF(F4:F23,"遅")</f>
      </c>
      <c r="G27" s="25">
        <f>COUNTIF(G4:G23,"遅")</f>
      </c>
      <c r="H27" s="25">
        <f>COUNTIF(H4:H23,"遅")</f>
      </c>
      <c r="I27" s="25">
        <f>COUNTIF(I4:I23,"遅")</f>
      </c>
      <c r="J27" s="25">
        <f>COUNTIF(J4:J23,"遅")</f>
      </c>
      <c r="K27" s="25">
        <f>COUNTIF(K4:K23,"遅")</f>
      </c>
      <c r="L27" s="25">
        <f>COUNTIF(L4:L23,"遅")</f>
      </c>
      <c r="M27" s="25">
        <f>COUNTIF(M4:M23,"遅")</f>
      </c>
      <c r="N27" s="25">
        <f>COUNTIF(N4:N23,"遅")</f>
      </c>
      <c r="O27" s="25">
        <f>COUNTIF(O4:O23,"遅")</f>
      </c>
      <c r="P27" s="25">
        <f>COUNTIF(P4:P23,"遅")</f>
      </c>
      <c r="Q27" s="25">
        <f>COUNTIF(Q4:Q23,"遅")</f>
      </c>
      <c r="R27" s="25">
        <f>COUNTIF(R4:R23,"遅")</f>
      </c>
      <c r="S27" s="25">
        <f>COUNTIF(S4:S23,"遅")</f>
      </c>
      <c r="T27" s="25">
        <f>COUNTIF(T4:T23,"遅")</f>
      </c>
      <c r="U27" s="25">
        <f>COUNTIF(U4:U23,"遅")</f>
      </c>
      <c r="V27" s="25">
        <f>COUNTIF(V4:V23,"遅")</f>
      </c>
      <c r="W27" s="25">
        <f>COUNTIF(W4:W23,"遅")</f>
      </c>
      <c r="X27" s="25">
        <f>COUNTIF(X4:X23,"遅")</f>
      </c>
      <c r="Y27" s="25">
        <f>COUNTIF(Y4:Y23,"遅")</f>
      </c>
      <c r="Z27" s="25">
        <f>COUNTIF(Z4:Z23,"遅")</f>
      </c>
      <c r="AA27" s="25">
        <f>COUNTIF([4:[23,"遅")</f>
      </c>
      <c r="AB27" s="25">
        <f>COUNTIF(\4:\23,"遅")</f>
      </c>
      <c r="AC27" s="25">
        <f>COUNTIF(]4:]23,"遅")</f>
      </c>
      <c r="AD27" s="25">
        <f>COUNTIF(^4:^23,"遅")</f>
      </c>
      <c r="AE27" s="25">
        <f>COUNTIF(_4:_23,"遅")</f>
      </c>
      <c r="AF27" s="25">
        <f>COUNTIF(`4:`23,"遅")</f>
      </c>
    </row>
    <row r="28" ht="20" customHeight="1" spans="1:32" x14ac:dyDescent="0.25">
      <c r="A28" s="26" t="s">
        <v>22</v>
      </c>
      <c r="B28" s="27">
        <f>COUNTIF(B4:B23,"夜")</f>
      </c>
      <c r="C28" s="27">
        <f>COUNTIF(C4:C23,"夜")</f>
      </c>
      <c r="D28" s="27">
        <f>COUNTIF(D4:D23,"夜")</f>
      </c>
      <c r="E28" s="27">
        <f>COUNTIF(E4:E23,"夜")</f>
      </c>
      <c r="F28" s="27">
        <f>COUNTIF(F4:F23,"夜")</f>
      </c>
      <c r="G28" s="27">
        <f>COUNTIF(G4:G23,"夜")</f>
      </c>
      <c r="H28" s="27">
        <f>COUNTIF(H4:H23,"夜")</f>
      </c>
      <c r="I28" s="27">
        <f>COUNTIF(I4:I23,"夜")</f>
      </c>
      <c r="J28" s="27">
        <f>COUNTIF(J4:J23,"夜")</f>
      </c>
      <c r="K28" s="27">
        <f>COUNTIF(K4:K23,"夜")</f>
      </c>
      <c r="L28" s="27">
        <f>COUNTIF(L4:L23,"夜")</f>
      </c>
      <c r="M28" s="27">
        <f>COUNTIF(M4:M23,"夜")</f>
      </c>
      <c r="N28" s="27">
        <f>COUNTIF(N4:N23,"夜")</f>
      </c>
      <c r="O28" s="27">
        <f>COUNTIF(O4:O23,"夜")</f>
      </c>
      <c r="P28" s="27">
        <f>COUNTIF(P4:P23,"夜")</f>
      </c>
      <c r="Q28" s="27">
        <f>COUNTIF(Q4:Q23,"夜")</f>
      </c>
      <c r="R28" s="27">
        <f>COUNTIF(R4:R23,"夜")</f>
      </c>
      <c r="S28" s="27">
        <f>COUNTIF(S4:S23,"夜")</f>
      </c>
      <c r="T28" s="27">
        <f>COUNTIF(T4:T23,"夜")</f>
      </c>
      <c r="U28" s="27">
        <f>COUNTIF(U4:U23,"夜")</f>
      </c>
      <c r="V28" s="27">
        <f>COUNTIF(V4:V23,"夜")</f>
      </c>
      <c r="W28" s="27">
        <f>COUNTIF(W4:W23,"夜")</f>
      </c>
      <c r="X28" s="27">
        <f>COUNTIF(X4:X23,"夜")</f>
      </c>
      <c r="Y28" s="27">
        <f>COUNTIF(Y4:Y23,"夜")</f>
      </c>
      <c r="Z28" s="27">
        <f>COUNTIF(Z4:Z23,"夜")</f>
      </c>
      <c r="AA28" s="27">
        <f>COUNTIF([4:[23,"夜")</f>
      </c>
      <c r="AB28" s="27">
        <f>COUNTIF(\4:\23,"夜")</f>
      </c>
      <c r="AC28" s="27">
        <f>COUNTIF(]4:]23,"夜")</f>
      </c>
      <c r="AD28" s="27">
        <f>COUNTIF(^4:^23,"夜")</f>
      </c>
      <c r="AE28" s="27">
        <f>COUNTIF(_4:_23,"夜")</f>
      </c>
      <c r="AF28" s="27">
        <f>COUNTIF(`4:`23,"夜")</f>
      </c>
    </row>
    <row r="30" ht="20" customHeight="1" spans="1:32" x14ac:dyDescent="0.25">
      <c r="A30" s="28" t="s">
        <v>23</v>
      </c>
      <c r="B30" s="28">
        <v>3</v>
      </c>
      <c r="C30" s="28">
        <v>3</v>
      </c>
      <c r="D30" s="28">
        <v>3</v>
      </c>
      <c r="E30" s="28">
        <v>3</v>
      </c>
      <c r="F30" s="28">
        <v>3</v>
      </c>
      <c r="G30" s="28">
        <v>3</v>
      </c>
      <c r="H30" s="28">
        <v>3</v>
      </c>
      <c r="I30" s="28">
        <v>3</v>
      </c>
      <c r="J30" s="28">
        <v>3</v>
      </c>
      <c r="K30" s="28">
        <v>3</v>
      </c>
      <c r="L30" s="28">
        <v>3</v>
      </c>
      <c r="M30" s="28">
        <v>3</v>
      </c>
      <c r="N30" s="28">
        <v>3</v>
      </c>
      <c r="O30" s="28">
        <v>3</v>
      </c>
      <c r="P30" s="28">
        <v>3</v>
      </c>
      <c r="Q30" s="28">
        <v>3</v>
      </c>
      <c r="R30" s="28">
        <v>3</v>
      </c>
      <c r="S30" s="28">
        <v>3</v>
      </c>
      <c r="T30" s="28">
        <v>3</v>
      </c>
      <c r="U30" s="28">
        <v>3</v>
      </c>
      <c r="V30" s="28">
        <v>3</v>
      </c>
      <c r="W30" s="28">
        <v>3</v>
      </c>
      <c r="X30" s="28">
        <v>3</v>
      </c>
      <c r="Y30" s="28">
        <v>3</v>
      </c>
      <c r="Z30" s="28">
        <v>3</v>
      </c>
      <c r="AA30" s="28">
        <v>3</v>
      </c>
      <c r="AB30" s="28">
        <v>3</v>
      </c>
      <c r="AC30" s="28">
        <v>3</v>
      </c>
      <c r="AD30" s="28">
        <v>3</v>
      </c>
      <c r="AE30" s="28">
        <v>3</v>
      </c>
      <c r="AF30" s="28">
        <v>3</v>
      </c>
    </row>
    <row r="32" spans="1:32" x14ac:dyDescent="0.25">
      <c r="A32" s="29" t="s">
        <v>24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</row>
  </sheetData>
  <mergeCells count="2">
    <mergeCell ref="A1:AF1"/>
    <mergeCell ref="A32:AF32"/>
  </mergeCells>
  <conditionalFormatting sqref="B4:AF23">
    <cfRule type="cellIs" dxfId="0" priority="1" operator="equal">
      <formula>"早"</formula>
    </cfRule>
  </conditionalFormatting>
  <conditionalFormatting sqref="B4:AF23">
    <cfRule type="cellIs" dxfId="1" priority="1" operator="equal">
      <formula>"日"</formula>
    </cfRule>
  </conditionalFormatting>
  <conditionalFormatting sqref="B4:AF23">
    <cfRule type="cellIs" dxfId="2" priority="1" operator="equal">
      <formula>"遅"</formula>
    </cfRule>
  </conditionalFormatting>
  <conditionalFormatting sqref="B4:AF23">
    <cfRule type="cellIs" dxfId="3" priority="1" operator="equal">
      <formula>"夜"</formula>
    </cfRule>
  </conditionalFormatting>
  <conditionalFormatting sqref="B4:AF23">
    <cfRule type="cellIs" dxfId="4" priority="1" operator="equal">
      <formula>"明"</formula>
    </cfRule>
  </conditionalFormatting>
  <conditionalFormatting sqref="B4:AF23">
    <cfRule type="cellIs" dxfId="5" priority="1" operator="equal">
      <formula>"休"</formula>
    </cfRule>
  </conditionalFormatting>
  <dataValidations count="4">
    <dataValidation type="list" allowBlank="1" sqref="AA10:AF23">
      <formula1>"早,日,遅,夜,明,休"</formula1>
    </dataValidation>
    <dataValidation type="list" allowBlank="1" sqref="AA4:AF23">
      <formula1>"早,日,遅,夜,明,休"</formula1>
    </dataValidation>
    <dataValidation type="list" allowBlank="1" sqref="B10:AF23">
      <formula1>"早,日,遅,夜,明,休"</formula1>
    </dataValidation>
    <dataValidation type="list" allowBlank="1" sqref="B4:AF23">
      <formula1>"早,日,遅,夜,明,休"</formula1>
    </dataValidation>
  </dataValidations>
  <pageSetup paperSize="9" orientation="landscape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シフト表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CareShift</dc:creator>
  <dc:title/>
  <dc:subject/>
  <dc:description/>
  <cp:keywords/>
  <cp:category/>
  <cp:lastModifiedBy>Unknown</cp:lastModifiedBy>
  <dcterms:created xsi:type="dcterms:W3CDTF">2026-03-04T12:24:51Z</dcterms:created>
  <dcterms:modified xsi:type="dcterms:W3CDTF">2026-03-04T12:24:51Z</dcterms:modified>
</cp:coreProperties>
</file>